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70" windowHeight="1425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<sst xmlns="http://schemas.openxmlformats.org/spreadsheetml/2006/main" count="45" uniqueCount="21">
  <si>
    <t>Coef</t>
  </si>
  <si>
    <t>(Intercept)</t>
  </si>
  <si>
    <t>*</t>
  </si>
  <si>
    <t>norm_power_est0</t>
  </si>
  <si>
    <t>***</t>
  </si>
  <si>
    <t>tech_typWind</t>
  </si>
  <si>
    <t>Onshore</t>
  </si>
  <si>
    <t>**</t>
  </si>
  <si>
    <t>poly(ws_h_wmean,</t>
  </si>
  <si>
    <t>3)1</t>
  </si>
  <si>
    <t>3)2</t>
  </si>
  <si>
    <t>3)3</t>
  </si>
  <si>
    <t>Onshore:poly(ws_h_wmean,</t>
  </si>
  <si>
    <t>norm_power_est0:tech_typWind</t>
  </si>
  <si>
    <t>X</t>
  </si>
  <si>
    <t>X * coef</t>
  </si>
  <si>
    <t>Offshore</t>
  </si>
  <si>
    <t>On/Off</t>
  </si>
  <si>
    <t>ws_h_wmean</t>
  </si>
  <si>
    <t>onshore poly</t>
  </si>
  <si>
    <t>Prediction</t>
  </si>
</sst>
</file>

<file path=xl/styles.xml><?xml version="1.0" encoding="utf-8"?>
<styleSheet xmlns="http://schemas.openxmlformats.org/spreadsheetml/2006/main">
  <numFmts count="5">
    <numFmt numFmtId="176" formatCode="0.0000_);[Red]\(0.0000\)"/>
    <numFmt numFmtId="41" formatCode="_-* #,##0_-;\-* #,##0_-;_-* &quot;-&quot;_-;_-@_-"/>
    <numFmt numFmtId="42" formatCode="_-&quot;£&quot;* #,##0_-;\-&quot;£&quot;* #,##0_-;_-&quot;£&quot;* &quot;-&quot;_-;_-@_-"/>
    <numFmt numFmtId="44" formatCode="_-&quot;£&quot;* #,##0.00_-;\-&quot;£&quot;* #,##0.00_-;_-&quot;£&quot;* &quot;-&quot;??_-;_-@_-"/>
    <numFmt numFmtId="43" formatCode="_-* #,##0.00_-;\-* #,##0.00_-;_-* &quot;-&quot;??_-;_-@_-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006100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u/>
      <sz val="11"/>
      <color rgb="FF800080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5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CC"/>
        <bgColor indexed="64"/>
      </patternFill>
    </fill>
  </fills>
  <borders count="9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9">
    <xf numFmtId="0" fontId="0" fillId="0" borderId="0">
      <alignment vertical="center"/>
    </xf>
    <xf numFmtId="0" fontId="2" fillId="22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12" borderId="5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0" fillId="32" borderId="8" applyNumberFormat="0" applyFont="0" applyAlignment="0" applyProtection="0">
      <alignment vertical="center"/>
    </xf>
    <xf numFmtId="0" fontId="14" fillId="25" borderId="7" applyNumberForma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2" fillId="12" borderId="7" applyNumberFormat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4" fillId="0" borderId="3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6" fillId="0" borderId="2" applyNumberFormat="0" applyFill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5" fillId="5" borderId="1" applyNumberFormat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</cellStyleXfs>
  <cellXfs count="4">
    <xf numFmtId="0" fontId="0" fillId="0" borderId="0" xfId="0">
      <alignment vertical="center"/>
    </xf>
    <xf numFmtId="176" fontId="0" fillId="0" borderId="0" xfId="0" applyNumberFormat="1">
      <alignment vertical="center"/>
    </xf>
    <xf numFmtId="11" fontId="0" fillId="0" borderId="0" xfId="0" applyNumberFormat="1">
      <alignment vertical="center"/>
    </xf>
    <xf numFmtId="0" fontId="0" fillId="0" borderId="0" xfId="0" applyAlignment="1">
      <alignment vertical="center" wrapText="1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4:M31"/>
  <sheetViews>
    <sheetView tabSelected="1" workbookViewId="0">
      <selection activeCell="M19" sqref="M19"/>
    </sheetView>
  </sheetViews>
  <sheetFormatPr defaultColWidth="9" defaultRowHeight="14.25"/>
  <cols>
    <col min="1" max="1" width="29.75" customWidth="1"/>
    <col min="3" max="3" width="11.5"/>
    <col min="4" max="4" width="12.625"/>
    <col min="5" max="5" width="11.5"/>
    <col min="6" max="6" width="12.625"/>
    <col min="13" max="13" width="12.625"/>
  </cols>
  <sheetData>
    <row r="4" spans="4:4">
      <c r="D4" t="s">
        <v>0</v>
      </c>
    </row>
    <row r="5" spans="1:12">
      <c r="A5" t="s">
        <v>1</v>
      </c>
      <c r="D5">
        <v>0.19767</v>
      </c>
      <c r="I5">
        <v>0.08116</v>
      </c>
      <c r="J5">
        <v>2.436</v>
      </c>
      <c r="K5">
        <v>0.01618</v>
      </c>
      <c r="L5" t="s">
        <v>2</v>
      </c>
    </row>
    <row r="6" spans="1:12">
      <c r="A6" t="s">
        <v>3</v>
      </c>
      <c r="D6">
        <v>0.69645</v>
      </c>
      <c r="I6">
        <v>0.11176</v>
      </c>
      <c r="J6">
        <v>6.232</v>
      </c>
      <c r="K6" s="2">
        <v>5.57e-9</v>
      </c>
      <c r="L6" t="s">
        <v>4</v>
      </c>
    </row>
    <row r="7" spans="1:12">
      <c r="A7" t="s">
        <v>5</v>
      </c>
      <c r="B7" t="s">
        <v>6</v>
      </c>
      <c r="D7">
        <v>-0.33441</v>
      </c>
      <c r="I7">
        <v>0.12493</v>
      </c>
      <c r="J7">
        <v>-2.677</v>
      </c>
      <c r="K7">
        <v>0.00836</v>
      </c>
      <c r="L7" t="s">
        <v>7</v>
      </c>
    </row>
    <row r="8" spans="1:11">
      <c r="A8" t="s">
        <v>8</v>
      </c>
      <c r="B8" t="s">
        <v>9</v>
      </c>
      <c r="D8">
        <v>-1.43567</v>
      </c>
      <c r="I8">
        <v>0.88905</v>
      </c>
      <c r="J8">
        <v>-1.615</v>
      </c>
      <c r="K8">
        <v>0.1087</v>
      </c>
    </row>
    <row r="9" spans="1:12">
      <c r="A9" t="s">
        <v>8</v>
      </c>
      <c r="B9" t="s">
        <v>10</v>
      </c>
      <c r="D9">
        <v>1.68356</v>
      </c>
      <c r="I9">
        <v>0.58042</v>
      </c>
      <c r="J9">
        <v>2.901</v>
      </c>
      <c r="K9">
        <v>0.00435</v>
      </c>
      <c r="L9" t="s">
        <v>7</v>
      </c>
    </row>
    <row r="10" spans="1:12">
      <c r="A10" t="s">
        <v>8</v>
      </c>
      <c r="B10" t="s">
        <v>11</v>
      </c>
      <c r="D10">
        <v>-0.68813</v>
      </c>
      <c r="I10">
        <v>0.22006</v>
      </c>
      <c r="J10">
        <v>-3.127</v>
      </c>
      <c r="K10">
        <v>0.00217</v>
      </c>
      <c r="L10" t="s">
        <v>7</v>
      </c>
    </row>
    <row r="11" spans="1:11">
      <c r="A11" t="s">
        <v>5</v>
      </c>
      <c r="B11" t="s">
        <v>12</v>
      </c>
      <c r="C11" t="s">
        <v>9</v>
      </c>
      <c r="D11">
        <v>0.81064</v>
      </c>
      <c r="I11">
        <v>0.98676</v>
      </c>
      <c r="J11">
        <v>0.822</v>
      </c>
      <c r="K11">
        <v>0.41281</v>
      </c>
    </row>
    <row r="12" spans="1:12">
      <c r="A12" t="s">
        <v>5</v>
      </c>
      <c r="B12" t="s">
        <v>12</v>
      </c>
      <c r="C12" t="s">
        <v>10</v>
      </c>
      <c r="D12">
        <v>-1.68553</v>
      </c>
      <c r="I12">
        <v>0.5879</v>
      </c>
      <c r="J12">
        <v>-2.867</v>
      </c>
      <c r="K12">
        <v>0.00481</v>
      </c>
      <c r="L12" t="s">
        <v>7</v>
      </c>
    </row>
    <row r="13" spans="1:12">
      <c r="A13" t="s">
        <v>5</v>
      </c>
      <c r="B13" t="s">
        <v>12</v>
      </c>
      <c r="C13" t="s">
        <v>11</v>
      </c>
      <c r="D13">
        <v>0.72087</v>
      </c>
      <c r="I13">
        <v>0.23034</v>
      </c>
      <c r="J13">
        <v>3.13</v>
      </c>
      <c r="K13">
        <v>0.00215</v>
      </c>
      <c r="L13" t="s">
        <v>7</v>
      </c>
    </row>
    <row r="14" spans="1:12">
      <c r="A14" t="s">
        <v>13</v>
      </c>
      <c r="B14" t="s">
        <v>6</v>
      </c>
      <c r="D14">
        <v>0.34696</v>
      </c>
      <c r="I14">
        <v>0.17068</v>
      </c>
      <c r="J14">
        <v>2.033</v>
      </c>
      <c r="K14">
        <v>0.04405</v>
      </c>
      <c r="L14" t="s">
        <v>2</v>
      </c>
    </row>
    <row r="18" spans="4:10">
      <c r="D18" t="s">
        <v>14</v>
      </c>
      <c r="F18" t="s">
        <v>15</v>
      </c>
      <c r="I18" t="s">
        <v>6</v>
      </c>
      <c r="J18" t="s">
        <v>16</v>
      </c>
    </row>
    <row r="19" spans="1:13">
      <c r="A19" t="s">
        <v>1</v>
      </c>
      <c r="D19">
        <v>1</v>
      </c>
      <c r="F19" s="1">
        <f t="shared" ref="F19:F28" si="0">D5*D19</f>
        <v>0.19767</v>
      </c>
      <c r="I19">
        <v>1</v>
      </c>
      <c r="J19">
        <v>1</v>
      </c>
      <c r="M19">
        <f>0.6240382</f>
        <v>0.6240382</v>
      </c>
    </row>
    <row r="20" spans="1:13">
      <c r="A20" t="s">
        <v>3</v>
      </c>
      <c r="D20">
        <v>0.0295</v>
      </c>
      <c r="F20" s="1">
        <f t="shared" si="0"/>
        <v>0.020545275</v>
      </c>
      <c r="I20">
        <v>0.0295</v>
      </c>
      <c r="J20">
        <v>0.0711423160504454</v>
      </c>
      <c r="M20">
        <f>-0.4910491</f>
        <v>-0.4910491</v>
      </c>
    </row>
    <row r="21" spans="1:13">
      <c r="A21" t="s">
        <v>17</v>
      </c>
      <c r="D21">
        <v>1</v>
      </c>
      <c r="F21" s="1">
        <f t="shared" si="0"/>
        <v>-0.33441</v>
      </c>
      <c r="I21">
        <v>1</v>
      </c>
      <c r="J21">
        <v>0</v>
      </c>
      <c r="M21">
        <f>-0.1672034</f>
        <v>-0.1672034</v>
      </c>
    </row>
    <row r="22" spans="1:13">
      <c r="A22" t="s">
        <v>18</v>
      </c>
      <c r="B22">
        <v>1</v>
      </c>
      <c r="D22">
        <v>-0.1196736</v>
      </c>
      <c r="F22" s="1">
        <f t="shared" ref="F22:F24" si="1">D8*D22</f>
        <v>0.171811797312</v>
      </c>
      <c r="I22">
        <v>-0.1196736</v>
      </c>
      <c r="J22">
        <v>-0.1100022</v>
      </c>
      <c r="M22">
        <v>1.28362</v>
      </c>
    </row>
    <row r="23" spans="1:10">
      <c r="A23" t="s">
        <v>18</v>
      </c>
      <c r="B23">
        <v>2</v>
      </c>
      <c r="D23">
        <v>0.1596759</v>
      </c>
      <c r="F23" s="1">
        <f t="shared" si="1"/>
        <v>0.268823958204</v>
      </c>
      <c r="I23">
        <v>0.1596759</v>
      </c>
      <c r="J23">
        <v>0.1264851</v>
      </c>
    </row>
    <row r="24" spans="1:10">
      <c r="A24" t="s">
        <v>18</v>
      </c>
      <c r="B24">
        <v>3</v>
      </c>
      <c r="D24">
        <v>-0.1494738</v>
      </c>
      <c r="F24" s="1">
        <f t="shared" si="1"/>
        <v>0.102857405994</v>
      </c>
      <c r="I24">
        <v>-0.1494738</v>
      </c>
      <c r="J24">
        <v>-0.0873577</v>
      </c>
    </row>
    <row r="25" spans="1:13">
      <c r="A25" t="s">
        <v>19</v>
      </c>
      <c r="B25">
        <v>1</v>
      </c>
      <c r="C25"/>
      <c r="D25">
        <v>-0.1196736</v>
      </c>
      <c r="F25" s="1">
        <f t="shared" si="0"/>
        <v>-0.097012207104</v>
      </c>
      <c r="I25">
        <v>-0.1196736</v>
      </c>
      <c r="J25">
        <v>0</v>
      </c>
      <c r="M25">
        <v>1.161269</v>
      </c>
    </row>
    <row r="26" spans="1:10">
      <c r="A26" t="s">
        <v>19</v>
      </c>
      <c r="B26">
        <v>2</v>
      </c>
      <c r="D26">
        <v>0.1596759</v>
      </c>
      <c r="F26" s="1">
        <f t="shared" si="0"/>
        <v>-0.269138519727</v>
      </c>
      <c r="I26">
        <v>0.1596759</v>
      </c>
      <c r="J26">
        <v>0</v>
      </c>
    </row>
    <row r="27" spans="1:10">
      <c r="A27" t="s">
        <v>19</v>
      </c>
      <c r="B27">
        <v>3</v>
      </c>
      <c r="D27">
        <v>-0.1494738</v>
      </c>
      <c r="F27" s="1">
        <f t="shared" si="0"/>
        <v>-0.107751178206</v>
      </c>
      <c r="I27">
        <v>-0.1494738</v>
      </c>
      <c r="J27">
        <v>0</v>
      </c>
    </row>
    <row r="28" spans="1:13">
      <c r="A28" t="s">
        <v>13</v>
      </c>
      <c r="D28">
        <f>D20</f>
        <v>0.0295</v>
      </c>
      <c r="F28" s="1">
        <f t="shared" si="0"/>
        <v>0.01023532</v>
      </c>
      <c r="I28">
        <f>I20</f>
        <v>0.0295</v>
      </c>
      <c r="J28">
        <v>0</v>
      </c>
      <c r="M28" s="3">
        <f>-0.08160635</f>
        <v>-0.08160635</v>
      </c>
    </row>
    <row r="31" spans="5:6">
      <c r="E31" t="s">
        <v>20</v>
      </c>
      <c r="F31">
        <f>SUM(F19:F28)</f>
        <v>-0.036368148527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s2441782</dc:creator>
  <cp:lastModifiedBy>s2441782</cp:lastModifiedBy>
  <dcterms:created xsi:type="dcterms:W3CDTF">2026-09-28T12:49:13Z</dcterms:created>
  <dcterms:modified xsi:type="dcterms:W3CDTF">2026-09-28T13:30:52Z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1033-11.1.0.11723</vt:lpwstr>
  </property>
</Properties>
</file>